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projetos_de_tecnologia_de_informacao_e_comunicacao\AULA 05102026\"/>
    </mc:Choice>
  </mc:AlternateContent>
  <xr:revisionPtr revIDLastSave="0" documentId="13_ncr:1_{365A52F7-2647-4431-999D-B8BF6A3DD915}" xr6:coauthVersionLast="36" xr6:coauthVersionMax="36" xr10:uidLastSave="{00000000-0000-0000-0000-000000000000}"/>
  <bookViews>
    <workbookView xWindow="0" yWindow="0" windowWidth="28800" windowHeight="12105" xr2:uid="{4443510E-7D81-40E2-B8FF-AD85CCFD36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K13" i="1"/>
  <c r="K12" i="1"/>
  <c r="K11" i="1"/>
  <c r="K10" i="1"/>
  <c r="K9" i="1"/>
  <c r="K8" i="1"/>
  <c r="K7" i="1"/>
  <c r="K6" i="1"/>
  <c r="K5" i="1"/>
  <c r="J14" i="1"/>
  <c r="J13" i="1"/>
  <c r="J12" i="1"/>
  <c r="J11" i="1"/>
  <c r="J10" i="1"/>
  <c r="J9" i="1"/>
  <c r="J8" i="1"/>
  <c r="J7" i="1"/>
  <c r="J6" i="1"/>
  <c r="J5" i="1"/>
  <c r="G14" i="1"/>
  <c r="G13" i="1"/>
  <c r="G11" i="1"/>
  <c r="G9" i="1"/>
  <c r="I9" i="1" s="1"/>
  <c r="G8" i="1"/>
  <c r="G7" i="1"/>
  <c r="I7" i="1" s="1"/>
  <c r="G6" i="1"/>
  <c r="I6" i="1" s="1"/>
  <c r="G5" i="1"/>
  <c r="I5" i="1" s="1"/>
  <c r="I8" i="1"/>
  <c r="I11" i="1"/>
  <c r="H11" i="1"/>
  <c r="H9" i="1"/>
  <c r="H8" i="1"/>
  <c r="H7" i="1"/>
  <c r="H6" i="1"/>
  <c r="F5" i="1"/>
  <c r="F14" i="1"/>
  <c r="F13" i="1"/>
  <c r="F12" i="1"/>
  <c r="H12" i="1" s="1"/>
  <c r="F11" i="1"/>
  <c r="F10" i="1"/>
  <c r="G10" i="1" s="1"/>
  <c r="I10" i="1" s="1"/>
  <c r="F9" i="1"/>
  <c r="F8" i="1"/>
  <c r="F7" i="1"/>
  <c r="F6" i="1"/>
  <c r="G12" i="1" l="1"/>
  <c r="H10" i="1"/>
  <c r="I12" i="1"/>
  <c r="H13" i="1"/>
  <c r="I13" i="1"/>
  <c r="H14" i="1"/>
  <c r="I14" i="1"/>
  <c r="H5" i="1"/>
</calcChain>
</file>

<file path=xl/sharedStrings.xml><?xml version="1.0" encoding="utf-8"?>
<sst xmlns="http://schemas.openxmlformats.org/spreadsheetml/2006/main" count="31" uniqueCount="31">
  <si>
    <t>Nome</t>
  </si>
  <si>
    <t>Cargo</t>
  </si>
  <si>
    <t>Valor da hora trabalhada</t>
  </si>
  <si>
    <t>Quantidade de horas trabalhadas</t>
  </si>
  <si>
    <t>Salário Bruto</t>
  </si>
  <si>
    <t>INSS</t>
  </si>
  <si>
    <t>FGTS</t>
  </si>
  <si>
    <t>Salário líquido</t>
  </si>
  <si>
    <t>Priscyla Machado</t>
  </si>
  <si>
    <t>Analista Contábil</t>
  </si>
  <si>
    <t>Lucas Fernandes Ribeiro</t>
  </si>
  <si>
    <t>Amanda Martins Dias</t>
  </si>
  <si>
    <t>Carlos Oliveira Santos</t>
  </si>
  <si>
    <t>Júlia Santos Almeida</t>
  </si>
  <si>
    <t>Antônia Mendes Soares</t>
  </si>
  <si>
    <t>Rafael Souza Lima</t>
  </si>
  <si>
    <t>Beatriz Costa Rocha</t>
  </si>
  <si>
    <t>Gabriel Alves Pereira</t>
  </si>
  <si>
    <t>Mariana Barbosa Lima</t>
  </si>
  <si>
    <t>Gestor de Marketing</t>
  </si>
  <si>
    <t>Segurança da informação</t>
  </si>
  <si>
    <t>Gerente de Projetos</t>
  </si>
  <si>
    <t>Gerente de contas</t>
  </si>
  <si>
    <t>Coordenadora de Recursos Humanos</t>
  </si>
  <si>
    <t>Analista Fiscal</t>
  </si>
  <si>
    <t>Engenherio de Software</t>
  </si>
  <si>
    <t>Designer Gráfica</t>
  </si>
  <si>
    <t>FOLHA DE PAGAMENTO</t>
  </si>
  <si>
    <t xml:space="preserve">Valor a acrescentar </t>
  </si>
  <si>
    <t>Sálario líquido com acrescimo</t>
  </si>
  <si>
    <t>Estagiário de Experiência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</si>
</sst>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0" fontId="0" fillId="0" borderId="1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0533-8305-48CD-827A-731D1CFB4679}">
  <dimension ref="B3:K17"/>
  <sheetViews>
    <sheetView tabSelected="1" topLeftCell="E1" workbookViewId="0">
      <selection activeCell="K5" sqref="K5"/>
    </sheetView>
  </sheetViews>
  <sheetFormatPr defaultRowHeight="15" x14ac:dyDescent="0.25"/>
  <cols>
    <col min="2" max="2" width="22.28515625" customWidth="1"/>
    <col min="3" max="3" width="34.85546875" customWidth="1"/>
    <col min="4" max="4" width="23" style="1" bestFit="1" customWidth="1"/>
    <col min="5" max="5" width="30.85546875" bestFit="1" customWidth="1"/>
    <col min="6" max="6" width="20" customWidth="1"/>
    <col min="7" max="7" width="17.85546875" customWidth="1"/>
    <col min="8" max="8" width="18.28515625" customWidth="1"/>
    <col min="9" max="9" width="18.85546875" customWidth="1"/>
    <col min="10" max="10" width="18.42578125" bestFit="1" customWidth="1"/>
    <col min="11" max="11" width="27.5703125" bestFit="1" customWidth="1"/>
  </cols>
  <sheetData>
    <row r="3" spans="2:11" x14ac:dyDescent="0.25">
      <c r="B3" s="4" t="s">
        <v>27</v>
      </c>
      <c r="C3" s="4"/>
      <c r="D3" s="4"/>
      <c r="E3" s="4"/>
      <c r="F3" s="4"/>
      <c r="G3" s="4"/>
      <c r="H3" s="4"/>
      <c r="I3" s="4"/>
      <c r="J3" s="4"/>
      <c r="K3" s="4"/>
    </row>
    <row r="4" spans="2:11" x14ac:dyDescent="0.25">
      <c r="B4" s="5" t="s">
        <v>0</v>
      </c>
      <c r="C4" s="5" t="s">
        <v>1</v>
      </c>
      <c r="D4" s="6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28</v>
      </c>
      <c r="K4" s="5" t="s">
        <v>29</v>
      </c>
    </row>
    <row r="5" spans="2:11" x14ac:dyDescent="0.25">
      <c r="B5" s="7" t="s">
        <v>8</v>
      </c>
      <c r="C5" s="7" t="s">
        <v>9</v>
      </c>
      <c r="D5" s="8">
        <v>7.48</v>
      </c>
      <c r="E5" s="10">
        <v>220</v>
      </c>
      <c r="F5" s="9">
        <f>E5*D5</f>
        <v>1645.6000000000001</v>
      </c>
      <c r="G5" s="8">
        <f>IF(F5&lt;=1621, F5*7.5%, IF(F5&lt;=2902.84, (F5*9%), IF(F5&lt;=4354.27, (F5*12%), IF(F5&lt;=8475.55, (F5*14%), 988.09))))</f>
        <v>148.10400000000001</v>
      </c>
      <c r="H5" s="9">
        <f>F5*8%</f>
        <v>131.64800000000002</v>
      </c>
      <c r="I5" s="9">
        <f>F5-G5</f>
        <v>1497.4960000000001</v>
      </c>
      <c r="J5" s="8">
        <f>IF(I5&lt;=1600, 400, IF(I5&gt;1600, 200,))</f>
        <v>400</v>
      </c>
      <c r="K5" s="9">
        <f>I5+J5</f>
        <v>1897.4960000000001</v>
      </c>
    </row>
    <row r="6" spans="2:11" x14ac:dyDescent="0.25">
      <c r="B6" s="7" t="s">
        <v>10</v>
      </c>
      <c r="C6" s="7" t="s">
        <v>19</v>
      </c>
      <c r="D6" s="8">
        <v>39.58</v>
      </c>
      <c r="E6" s="10">
        <v>220</v>
      </c>
      <c r="F6" s="8">
        <f t="shared" ref="F6:F14" si="0">E6*D6</f>
        <v>8707.6</v>
      </c>
      <c r="G6" s="8">
        <f>IF(F6&lt;=1621, F6*7.5%, IF(F6&lt;=2902.84, (F6*9%), IF(F6&lt;=4354.27, (F6*12%), IF(F6&lt;=8475.55, (F6*14%), 988.09))))</f>
        <v>988.09</v>
      </c>
      <c r="H6" s="8">
        <f t="shared" ref="H6:H14" si="1">F6*8%</f>
        <v>696.60800000000006</v>
      </c>
      <c r="I6" s="8">
        <f t="shared" ref="I6:I14" si="2">F6-G6</f>
        <v>7719.51</v>
      </c>
      <c r="J6" s="8">
        <f t="shared" ref="J6:J14" si="3">IF(I6&lt;=1600, 400, IF(I6&gt;1600, 200,))</f>
        <v>200</v>
      </c>
      <c r="K6" s="8">
        <f t="shared" ref="K6:K14" si="4">I6+J6</f>
        <v>7919.51</v>
      </c>
    </row>
    <row r="7" spans="2:11" x14ac:dyDescent="0.25">
      <c r="B7" s="7" t="s">
        <v>11</v>
      </c>
      <c r="C7" s="7" t="s">
        <v>25</v>
      </c>
      <c r="D7" s="8">
        <v>31.94</v>
      </c>
      <c r="E7" s="10">
        <v>220</v>
      </c>
      <c r="F7" s="8">
        <f t="shared" si="0"/>
        <v>7026.8</v>
      </c>
      <c r="G7" s="8">
        <f>IF(F7&lt;=1621, F7*7.5%, IF(F7&lt;=2902.84, (F7*9%), IF(F7&lt;=4354.27, (F7*12%), IF(F7&lt;=8475.55, (F7*14%), 988.09))))</f>
        <v>983.75200000000007</v>
      </c>
      <c r="H7" s="8">
        <f t="shared" si="1"/>
        <v>562.14400000000001</v>
      </c>
      <c r="I7" s="8">
        <f t="shared" si="2"/>
        <v>6043.0479999999998</v>
      </c>
      <c r="J7" s="8">
        <f t="shared" si="3"/>
        <v>200</v>
      </c>
      <c r="K7" s="8">
        <f t="shared" si="4"/>
        <v>6243.0479999999998</v>
      </c>
    </row>
    <row r="8" spans="2:11" x14ac:dyDescent="0.25">
      <c r="B8" s="7" t="s">
        <v>12</v>
      </c>
      <c r="C8" s="7" t="s">
        <v>20</v>
      </c>
      <c r="D8" s="8">
        <v>42.75</v>
      </c>
      <c r="E8" s="10">
        <v>220</v>
      </c>
      <c r="F8" s="8">
        <f t="shared" si="0"/>
        <v>9405</v>
      </c>
      <c r="G8" s="8">
        <f t="shared" ref="G8:G14" si="5">IF(F8&lt;=1621, F8*7.5%, IF(F8&lt;=2902.84, (F8*9%), IF(F8&lt;=4354.27, (F8*12%), IF(F8&lt;=8475.55, (F8*14%), 988.09))))</f>
        <v>988.09</v>
      </c>
      <c r="H8" s="8">
        <f t="shared" si="1"/>
        <v>752.4</v>
      </c>
      <c r="I8" s="8">
        <f t="shared" si="2"/>
        <v>8416.91</v>
      </c>
      <c r="J8" s="8">
        <f t="shared" si="3"/>
        <v>200</v>
      </c>
      <c r="K8" s="8">
        <f t="shared" si="4"/>
        <v>8616.91</v>
      </c>
    </row>
    <row r="9" spans="2:11" x14ac:dyDescent="0.25">
      <c r="B9" s="7" t="s">
        <v>13</v>
      </c>
      <c r="C9" s="7" t="s">
        <v>21</v>
      </c>
      <c r="D9" s="8">
        <v>48.19</v>
      </c>
      <c r="E9" s="10">
        <v>220</v>
      </c>
      <c r="F9" s="8">
        <f t="shared" si="0"/>
        <v>10601.8</v>
      </c>
      <c r="G9" s="8">
        <f t="shared" si="5"/>
        <v>988.09</v>
      </c>
      <c r="H9" s="8">
        <f t="shared" si="1"/>
        <v>848.14400000000001</v>
      </c>
      <c r="I9" s="8">
        <f t="shared" si="2"/>
        <v>9613.7099999999991</v>
      </c>
      <c r="J9" s="8">
        <f t="shared" si="3"/>
        <v>200</v>
      </c>
      <c r="K9" s="8">
        <f t="shared" si="4"/>
        <v>9813.7099999999991</v>
      </c>
    </row>
    <row r="10" spans="2:11" x14ac:dyDescent="0.25">
      <c r="B10" s="7" t="s">
        <v>14</v>
      </c>
      <c r="C10" s="7" t="s">
        <v>22</v>
      </c>
      <c r="D10" s="8">
        <v>7.99</v>
      </c>
      <c r="E10" s="10">
        <v>220</v>
      </c>
      <c r="F10" s="8">
        <f t="shared" si="0"/>
        <v>1757.8</v>
      </c>
      <c r="G10" s="8">
        <f t="shared" si="5"/>
        <v>158.202</v>
      </c>
      <c r="H10" s="8">
        <f t="shared" si="1"/>
        <v>140.624</v>
      </c>
      <c r="I10" s="8">
        <f t="shared" si="2"/>
        <v>1599.598</v>
      </c>
      <c r="J10" s="8">
        <f t="shared" si="3"/>
        <v>400</v>
      </c>
      <c r="K10" s="8">
        <f t="shared" si="4"/>
        <v>1999.598</v>
      </c>
    </row>
    <row r="11" spans="2:11" x14ac:dyDescent="0.25">
      <c r="B11" s="7" t="s">
        <v>15</v>
      </c>
      <c r="C11" s="7" t="s">
        <v>23</v>
      </c>
      <c r="D11" s="8">
        <v>41.22</v>
      </c>
      <c r="E11" s="10">
        <v>220</v>
      </c>
      <c r="F11" s="8">
        <f t="shared" si="0"/>
        <v>9068.4</v>
      </c>
      <c r="G11" s="8">
        <f t="shared" si="5"/>
        <v>988.09</v>
      </c>
      <c r="H11" s="8">
        <f t="shared" si="1"/>
        <v>725.47199999999998</v>
      </c>
      <c r="I11" s="8">
        <f t="shared" si="2"/>
        <v>8080.3099999999995</v>
      </c>
      <c r="J11" s="8">
        <f t="shared" si="3"/>
        <v>200</v>
      </c>
      <c r="K11" s="8">
        <f t="shared" si="4"/>
        <v>8280.31</v>
      </c>
    </row>
    <row r="12" spans="2:11" x14ac:dyDescent="0.25">
      <c r="B12" s="7" t="s">
        <v>16</v>
      </c>
      <c r="C12" s="7" t="s">
        <v>30</v>
      </c>
      <c r="D12" s="8">
        <v>6.88</v>
      </c>
      <c r="E12" s="10">
        <v>220</v>
      </c>
      <c r="F12" s="8">
        <f t="shared" si="0"/>
        <v>1513.6</v>
      </c>
      <c r="G12" s="8">
        <f t="shared" si="5"/>
        <v>113.52</v>
      </c>
      <c r="H12" s="8">
        <f t="shared" si="1"/>
        <v>121.08799999999999</v>
      </c>
      <c r="I12" s="8">
        <f t="shared" si="2"/>
        <v>1400.08</v>
      </c>
      <c r="J12" s="8">
        <f t="shared" si="3"/>
        <v>400</v>
      </c>
      <c r="K12" s="8">
        <f t="shared" si="4"/>
        <v>1800.08</v>
      </c>
    </row>
    <row r="13" spans="2:11" x14ac:dyDescent="0.25">
      <c r="B13" s="7" t="s">
        <v>17</v>
      </c>
      <c r="C13" s="7" t="s">
        <v>24</v>
      </c>
      <c r="D13" s="8">
        <v>15.94</v>
      </c>
      <c r="E13" s="10">
        <v>220</v>
      </c>
      <c r="F13" s="8">
        <f t="shared" si="0"/>
        <v>3506.7999999999997</v>
      </c>
      <c r="G13" s="8">
        <f t="shared" si="5"/>
        <v>420.81599999999997</v>
      </c>
      <c r="H13" s="8">
        <f t="shared" si="1"/>
        <v>280.54399999999998</v>
      </c>
      <c r="I13" s="8">
        <f t="shared" si="2"/>
        <v>3085.9839999999999</v>
      </c>
      <c r="J13" s="8">
        <f t="shared" si="3"/>
        <v>200</v>
      </c>
      <c r="K13" s="8">
        <f t="shared" si="4"/>
        <v>3285.9839999999999</v>
      </c>
    </row>
    <row r="14" spans="2:11" x14ac:dyDescent="0.25">
      <c r="B14" s="7" t="s">
        <v>18</v>
      </c>
      <c r="C14" s="7" t="s">
        <v>26</v>
      </c>
      <c r="D14" s="8">
        <v>6.98</v>
      </c>
      <c r="E14" s="10">
        <v>220</v>
      </c>
      <c r="F14" s="8">
        <f t="shared" si="0"/>
        <v>1535.6000000000001</v>
      </c>
      <c r="G14" s="8">
        <f t="shared" si="5"/>
        <v>115.17</v>
      </c>
      <c r="H14" s="8">
        <f t="shared" si="1"/>
        <v>122.84800000000001</v>
      </c>
      <c r="I14" s="8">
        <f t="shared" si="2"/>
        <v>1420.43</v>
      </c>
      <c r="J14" s="8">
        <f t="shared" si="3"/>
        <v>400</v>
      </c>
      <c r="K14" s="8">
        <f t="shared" si="4"/>
        <v>1820.43</v>
      </c>
    </row>
    <row r="17" spans="4:4" s="2" customFormat="1" x14ac:dyDescent="0.25">
      <c r="D17" s="3"/>
    </row>
  </sheetData>
  <mergeCells count="1">
    <mergeCell ref="B3:K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2026-10-05T22:23:59Z</dcterms:created>
  <dcterms:modified xsi:type="dcterms:W3CDTF">2026-10-06T01:12:38Z</dcterms:modified>
</cp:coreProperties>
</file>