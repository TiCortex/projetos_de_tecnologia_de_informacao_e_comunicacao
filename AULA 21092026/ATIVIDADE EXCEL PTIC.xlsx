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projetos_de_tecnologia_de_informacao_e_comunicacao\AULA 21092026\"/>
    </mc:Choice>
  </mc:AlternateContent>
  <xr:revisionPtr revIDLastSave="0" documentId="13_ncr:1_{5C61D850-CFF1-4F41-A087-08CFCD125D93}" xr6:coauthVersionLast="36" xr6:coauthVersionMax="36" xr10:uidLastSave="{00000000-0000-0000-0000-000000000000}"/>
  <bookViews>
    <workbookView xWindow="0" yWindow="0" windowWidth="28800" windowHeight="12105" activeTab="1" xr2:uid="{1DAE4682-B86A-404A-A057-CC81811930FF}"/>
  </bookViews>
  <sheets>
    <sheet name="ALunos" sheetId="1" r:id="rId1"/>
    <sheet name="Comissã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C18" i="2" s="1"/>
  <c r="G5" i="2"/>
  <c r="G6" i="2"/>
  <c r="G7" i="2"/>
  <c r="G8" i="2"/>
  <c r="G4" i="2"/>
  <c r="Q5" i="1"/>
  <c r="Q6" i="1"/>
  <c r="Q7" i="1"/>
  <c r="Q8" i="1"/>
  <c r="Q9" i="1"/>
  <c r="C19" i="2" l="1"/>
  <c r="C17" i="2"/>
  <c r="P9" i="1"/>
  <c r="P8" i="1"/>
  <c r="P7" i="1"/>
  <c r="P6" i="1"/>
  <c r="P5" i="1"/>
  <c r="K12" i="1"/>
  <c r="K13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<sst xmlns="http://schemas.openxmlformats.org/spreadsheetml/2006/main" count="62" uniqueCount="51">
  <si>
    <t>Aluno</t>
  </si>
  <si>
    <t>Maria</t>
  </si>
  <si>
    <t>Silvia</t>
  </si>
  <si>
    <t>José</t>
  </si>
  <si>
    <t>Marcelo</t>
  </si>
  <si>
    <t>Gabriel</t>
  </si>
  <si>
    <t>Nota1</t>
  </si>
  <si>
    <t>Nota2</t>
  </si>
  <si>
    <t>Soma</t>
  </si>
  <si>
    <t>Nome da coluna</t>
  </si>
  <si>
    <t>Tipo</t>
  </si>
  <si>
    <t>Nula</t>
  </si>
  <si>
    <t>Valor Padrão</t>
  </si>
  <si>
    <t>Chave</t>
  </si>
  <si>
    <t>Descrição</t>
  </si>
  <si>
    <t>não</t>
  </si>
  <si>
    <t>VARCHAR(30)</t>
  </si>
  <si>
    <t>TABELA NOTAS</t>
  </si>
  <si>
    <t>SCHEMA NOTAS</t>
  </si>
  <si>
    <t>aluno</t>
  </si>
  <si>
    <t>nota1</t>
  </si>
  <si>
    <t>nota2</t>
  </si>
  <si>
    <t>INT(2)</t>
  </si>
  <si>
    <t>soma</t>
  </si>
  <si>
    <t>Nota3</t>
  </si>
  <si>
    <t>Nota4</t>
  </si>
  <si>
    <t>Nota Máximo</t>
  </si>
  <si>
    <t>A nota máxima</t>
  </si>
  <si>
    <t>Média</t>
  </si>
  <si>
    <t>Situação</t>
  </si>
  <si>
    <t>Nome do vendedor</t>
  </si>
  <si>
    <t>departamento</t>
  </si>
  <si>
    <t>valor da venda</t>
  </si>
  <si>
    <t>limite mínimo</t>
  </si>
  <si>
    <t>porcentagem da comissão</t>
  </si>
  <si>
    <t xml:space="preserve">valor da comissão </t>
  </si>
  <si>
    <t>Ana</t>
  </si>
  <si>
    <t>Bruno</t>
  </si>
  <si>
    <t>Carlos</t>
  </si>
  <si>
    <t>Diana</t>
  </si>
  <si>
    <t>Eduardo</t>
  </si>
  <si>
    <t>Confecção</t>
  </si>
  <si>
    <t>CMB</t>
  </si>
  <si>
    <t>MI</t>
  </si>
  <si>
    <t>Infantil</t>
  </si>
  <si>
    <t xml:space="preserve">Maiores valores pagos: </t>
  </si>
  <si>
    <t>Gabriela</t>
  </si>
  <si>
    <t>Pedro</t>
  </si>
  <si>
    <t>Paulo</t>
  </si>
  <si>
    <t>Joana</t>
  </si>
  <si>
    <t>COMISSÃO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</si>
</sst>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/>
    <xf numFmtId="0" fontId="0" fillId="0" borderId="1" xfId="0" applyFill="1" applyBorder="1"/>
    <xf numFmtId="44" fontId="0" fillId="0" borderId="1" xfId="1" applyFont="1" applyFill="1" applyBorder="1"/>
    <xf numFmtId="9" fontId="0" fillId="0" borderId="1" xfId="0" applyNumberFormat="1" applyFill="1" applyBorder="1"/>
    <xf numFmtId="44" fontId="0" fillId="6" borderId="1" xfId="1" applyFont="1" applyFill="1" applyBorder="1"/>
    <xf numFmtId="9" fontId="0" fillId="6" borderId="1" xfId="0" applyNumberFormat="1" applyFill="1" applyBorder="1"/>
    <xf numFmtId="0" fontId="0" fillId="8" borderId="1" xfId="0" applyFill="1" applyBorder="1"/>
    <xf numFmtId="44" fontId="0" fillId="8" borderId="1" xfId="1" applyFont="1" applyFill="1" applyBorder="1"/>
    <xf numFmtId="9" fontId="0" fillId="8" borderId="1" xfId="0" applyNumberFormat="1" applyFill="1" applyBorder="1"/>
    <xf numFmtId="0" fontId="0" fillId="9" borderId="1" xfId="0" applyFill="1" applyBorder="1"/>
    <xf numFmtId="44" fontId="0" fillId="9" borderId="1" xfId="1" applyFont="1" applyFill="1" applyBorder="1"/>
    <xf numFmtId="9" fontId="0" fillId="9" borderId="1" xfId="0" applyNumberForma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ALunos!$P$5:$P$9</c:f>
              <c:numCache>
                <c:formatCode>General</c:formatCode>
                <c:ptCount val="5"/>
                <c:pt idx="0">
                  <c:v>4</c:v>
                </c:pt>
                <c:pt idx="1">
                  <c:v>7.5</c:v>
                </c:pt>
                <c:pt idx="2">
                  <c:v>6.5</c:v>
                </c:pt>
                <c:pt idx="3">
                  <c:v>7.75</c:v>
                </c:pt>
                <c:pt idx="4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D-4C6E-B6E2-0F05D90A83A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ALunos!$J$4:$J$9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D-4C6E-B6E2-0F05D90A8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14</xdr:row>
      <xdr:rowOff>9524</xdr:rowOff>
    </xdr:from>
    <xdr:to>
      <xdr:col>13</xdr:col>
      <xdr:colOff>228600</xdr:colOff>
      <xdr:row>22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C4C4C0-112E-407F-8C93-BA44F506A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349C-7566-4668-8BFD-F82B257C12C5}">
  <dimension ref="B2:Z19"/>
  <sheetViews>
    <sheetView topLeftCell="G1" workbookViewId="0">
      <selection activeCell="Q5" sqref="Q5"/>
    </sheetView>
  </sheetViews>
  <sheetFormatPr defaultRowHeight="15" x14ac:dyDescent="0.25"/>
  <cols>
    <col min="2" max="2" width="15.42578125" bestFit="1" customWidth="1"/>
    <col min="3" max="3" width="13.140625" bestFit="1" customWidth="1"/>
    <col min="5" max="5" width="12.28515625" bestFit="1" customWidth="1"/>
    <col min="8" max="8" width="10.7109375" customWidth="1"/>
    <col min="9" max="9" width="9.140625" customWidth="1"/>
    <col min="10" max="10" width="14.28515625" bestFit="1" customWidth="1"/>
    <col min="11" max="11" width="9.140625" customWidth="1"/>
    <col min="17" max="17" width="14.140625" bestFit="1" customWidth="1"/>
  </cols>
  <sheetData>
    <row r="2" spans="2:26" x14ac:dyDescent="0.25">
      <c r="B2" s="5" t="s">
        <v>18</v>
      </c>
      <c r="C2" s="5"/>
      <c r="D2" s="5"/>
      <c r="E2" s="5"/>
      <c r="F2" s="5"/>
      <c r="G2" s="5"/>
    </row>
    <row r="3" spans="2:26" x14ac:dyDescent="0.25">
      <c r="B3" s="6" t="s">
        <v>17</v>
      </c>
      <c r="C3" s="6"/>
      <c r="D3" s="6"/>
      <c r="E3" s="6"/>
      <c r="F3" s="6"/>
      <c r="G3" s="6"/>
      <c r="J3" s="6" t="s">
        <v>17</v>
      </c>
      <c r="K3" s="6"/>
      <c r="L3" s="6"/>
      <c r="M3" s="6"/>
      <c r="N3" s="6"/>
      <c r="O3" s="6"/>
      <c r="P3" s="6"/>
      <c r="Q3" s="6"/>
    </row>
    <row r="4" spans="2:26" x14ac:dyDescent="0.25"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J4" s="1" t="s">
        <v>0</v>
      </c>
      <c r="K4" s="1" t="s">
        <v>6</v>
      </c>
      <c r="L4" s="1" t="s">
        <v>7</v>
      </c>
      <c r="M4" s="1" t="s">
        <v>24</v>
      </c>
      <c r="N4" s="1" t="s">
        <v>25</v>
      </c>
      <c r="O4" s="1" t="s">
        <v>8</v>
      </c>
      <c r="P4" s="1" t="s">
        <v>28</v>
      </c>
      <c r="Q4" s="1" t="s">
        <v>29</v>
      </c>
    </row>
    <row r="5" spans="2:26" x14ac:dyDescent="0.25">
      <c r="B5" t="s">
        <v>19</v>
      </c>
      <c r="C5" t="s">
        <v>16</v>
      </c>
      <c r="D5" t="s">
        <v>15</v>
      </c>
      <c r="J5" s="2" t="s">
        <v>1</v>
      </c>
      <c r="K5" s="2">
        <v>2</v>
      </c>
      <c r="L5" s="2">
        <v>7</v>
      </c>
      <c r="M5" s="2">
        <v>1</v>
      </c>
      <c r="N5" s="2">
        <v>6</v>
      </c>
      <c r="O5" s="2">
        <f>SUM(K5:N5)</f>
        <v>16</v>
      </c>
      <c r="P5" s="7">
        <f>AVERAGE(K5:N5)</f>
        <v>4</v>
      </c>
      <c r="Q5" s="7" t="str">
        <f>IF(P5&gt;=7, "APROVADO",IF(P5&gt;=5,"RECUPERAÇÃO","REPROVADO"))</f>
        <v>REPROVADO</v>
      </c>
    </row>
    <row r="6" spans="2:26" x14ac:dyDescent="0.25">
      <c r="B6" t="s">
        <v>20</v>
      </c>
      <c r="C6" t="s">
        <v>22</v>
      </c>
      <c r="D6" t="s">
        <v>15</v>
      </c>
      <c r="J6" s="2" t="s">
        <v>2</v>
      </c>
      <c r="K6" s="2">
        <v>8</v>
      </c>
      <c r="L6" s="2">
        <v>5</v>
      </c>
      <c r="M6" s="2">
        <v>9</v>
      </c>
      <c r="N6" s="2">
        <v>8</v>
      </c>
      <c r="O6" s="2">
        <f t="shared" ref="O6:O9" si="0">SUM(K6:N6)</f>
        <v>30</v>
      </c>
      <c r="P6" s="8">
        <f t="shared" ref="P6:P9" si="1">AVERAGE(K6:N6)</f>
        <v>7.5</v>
      </c>
      <c r="Q6" s="8" t="str">
        <f t="shared" ref="Q6:Q9" si="2">IF(P6&gt;=7, "APROVADO",IF(P6&gt;=5,"RECUPERAÇÃO","REPROVADO"))</f>
        <v>APROVADO</v>
      </c>
    </row>
    <row r="7" spans="2:26" x14ac:dyDescent="0.25">
      <c r="B7" t="s">
        <v>21</v>
      </c>
      <c r="C7" t="s">
        <v>22</v>
      </c>
      <c r="D7" t="s">
        <v>15</v>
      </c>
      <c r="J7" s="2" t="s">
        <v>3</v>
      </c>
      <c r="K7" s="2">
        <v>9</v>
      </c>
      <c r="L7" s="2">
        <v>8</v>
      </c>
      <c r="M7" s="2">
        <v>2</v>
      </c>
      <c r="N7" s="2">
        <v>7</v>
      </c>
      <c r="O7" s="2">
        <f t="shared" si="0"/>
        <v>26</v>
      </c>
      <c r="P7" s="9">
        <f t="shared" si="1"/>
        <v>6.5</v>
      </c>
      <c r="Q7" s="9" t="str">
        <f t="shared" si="2"/>
        <v>RECUPERAÇÃO</v>
      </c>
    </row>
    <row r="8" spans="2:26" x14ac:dyDescent="0.25">
      <c r="B8" t="s">
        <v>23</v>
      </c>
      <c r="C8" t="s">
        <v>22</v>
      </c>
      <c r="D8" t="s">
        <v>15</v>
      </c>
      <c r="J8" s="2" t="s">
        <v>4</v>
      </c>
      <c r="K8" s="2">
        <v>10</v>
      </c>
      <c r="L8" s="2">
        <v>3</v>
      </c>
      <c r="M8" s="2">
        <v>10</v>
      </c>
      <c r="N8" s="2">
        <v>8</v>
      </c>
      <c r="O8" s="2">
        <f t="shared" si="0"/>
        <v>31</v>
      </c>
      <c r="P8" s="8">
        <f t="shared" si="1"/>
        <v>7.75</v>
      </c>
      <c r="Q8" s="8" t="str">
        <f t="shared" si="2"/>
        <v>APROVADO</v>
      </c>
    </row>
    <row r="9" spans="2:26" x14ac:dyDescent="0.25">
      <c r="J9" s="2" t="s">
        <v>5</v>
      </c>
      <c r="K9" s="2">
        <v>1</v>
      </c>
      <c r="L9" s="2">
        <v>6</v>
      </c>
      <c r="M9" s="2">
        <v>5</v>
      </c>
      <c r="N9" s="2">
        <v>3</v>
      </c>
      <c r="O9" s="2">
        <f t="shared" si="0"/>
        <v>15</v>
      </c>
      <c r="P9" s="7">
        <f t="shared" si="1"/>
        <v>3.75</v>
      </c>
      <c r="Q9" s="7" t="str">
        <f t="shared" si="2"/>
        <v>REPROVADO</v>
      </c>
    </row>
    <row r="12" spans="2:26" x14ac:dyDescent="0.25">
      <c r="J12" t="s">
        <v>26</v>
      </c>
      <c r="K12">
        <f>MAX(O5:O9)</f>
        <v>31</v>
      </c>
    </row>
    <row r="13" spans="2:26" x14ac:dyDescent="0.25">
      <c r="J13" t="s">
        <v>27</v>
      </c>
      <c r="K13">
        <f>MAX(K5:N9)</f>
        <v>10</v>
      </c>
    </row>
    <row r="14" spans="2:26" x14ac:dyDescent="0.25">
      <c r="Z14" s="3"/>
    </row>
    <row r="15" spans="2:26" x14ac:dyDescent="0.25">
      <c r="Z15" s="3"/>
    </row>
    <row r="16" spans="2:26" x14ac:dyDescent="0.25">
      <c r="Z16" s="3"/>
    </row>
    <row r="17" spans="26:26" x14ac:dyDescent="0.25">
      <c r="Z17" s="3"/>
    </row>
    <row r="18" spans="26:26" x14ac:dyDescent="0.25">
      <c r="Z18" s="3"/>
    </row>
    <row r="19" spans="26:26" x14ac:dyDescent="0.25">
      <c r="Z19" s="3"/>
    </row>
  </sheetData>
  <mergeCells count="3">
    <mergeCell ref="B2:G2"/>
    <mergeCell ref="B3:G3"/>
    <mergeCell ref="J3:Q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56AE-82FC-4C95-A2FA-F0FCFE232BEC}">
  <dimension ref="B2:G19"/>
  <sheetViews>
    <sheetView tabSelected="1" workbookViewId="0">
      <selection activeCell="K15" sqref="K15"/>
    </sheetView>
  </sheetViews>
  <sheetFormatPr defaultRowHeight="15" x14ac:dyDescent="0.25"/>
  <cols>
    <col min="2" max="2" width="18.42578125" bestFit="1" customWidth="1"/>
    <col min="3" max="3" width="13.85546875" bestFit="1" customWidth="1"/>
    <col min="4" max="4" width="14" bestFit="1" customWidth="1"/>
    <col min="5" max="5" width="13.5703125" bestFit="1" customWidth="1"/>
    <col min="6" max="6" width="24.28515625" bestFit="1" customWidth="1"/>
    <col min="7" max="7" width="17.28515625" bestFit="1" customWidth="1"/>
  </cols>
  <sheetData>
    <row r="2" spans="2:7" x14ac:dyDescent="0.25">
      <c r="B2" s="11" t="s">
        <v>50</v>
      </c>
      <c r="C2" s="11"/>
      <c r="D2" s="11"/>
      <c r="E2" s="11"/>
      <c r="F2" s="11"/>
      <c r="G2" s="11"/>
    </row>
    <row r="3" spans="2:7" x14ac:dyDescent="0.25">
      <c r="B3" s="12" t="s">
        <v>30</v>
      </c>
      <c r="C3" s="12" t="s">
        <v>31</v>
      </c>
      <c r="D3" s="12" t="s">
        <v>32</v>
      </c>
      <c r="E3" s="12" t="s">
        <v>33</v>
      </c>
      <c r="F3" s="12" t="s">
        <v>34</v>
      </c>
      <c r="G3" s="12" t="s">
        <v>35</v>
      </c>
    </row>
    <row r="4" spans="2:7" x14ac:dyDescent="0.25">
      <c r="B4" s="13" t="s">
        <v>36</v>
      </c>
      <c r="C4" s="13" t="s">
        <v>41</v>
      </c>
      <c r="D4" s="14">
        <v>13000</v>
      </c>
      <c r="E4" s="14">
        <v>10000</v>
      </c>
      <c r="F4" s="15">
        <v>0.05</v>
      </c>
      <c r="G4" s="14">
        <f>IF(D4&gt;=E4, (F4*D4),IF(D4&lt;=E4,"0"))</f>
        <v>650</v>
      </c>
    </row>
    <row r="5" spans="2:7" x14ac:dyDescent="0.25">
      <c r="B5" s="8" t="s">
        <v>37</v>
      </c>
      <c r="C5" s="8" t="s">
        <v>42</v>
      </c>
      <c r="D5" s="16">
        <v>24000</v>
      </c>
      <c r="E5" s="16">
        <v>15000</v>
      </c>
      <c r="F5" s="17">
        <v>0.03</v>
      </c>
      <c r="G5" s="16">
        <f t="shared" ref="G5:G12" si="0">IF(D5&gt;=E5, (F5*D5),IF(D5&lt;=E5,"0"))</f>
        <v>720</v>
      </c>
    </row>
    <row r="6" spans="2:7" x14ac:dyDescent="0.25">
      <c r="B6" s="13" t="s">
        <v>38</v>
      </c>
      <c r="C6" s="13" t="s">
        <v>43</v>
      </c>
      <c r="D6" s="14">
        <v>6000</v>
      </c>
      <c r="E6" s="14">
        <v>6000</v>
      </c>
      <c r="F6" s="15">
        <v>7.0000000000000007E-2</v>
      </c>
      <c r="G6" s="14">
        <f t="shared" si="0"/>
        <v>420.00000000000006</v>
      </c>
    </row>
    <row r="7" spans="2:7" x14ac:dyDescent="0.25">
      <c r="B7" s="13" t="s">
        <v>39</v>
      </c>
      <c r="C7" s="13" t="s">
        <v>44</v>
      </c>
      <c r="D7" s="14">
        <v>12000</v>
      </c>
      <c r="E7" s="14">
        <v>8000</v>
      </c>
      <c r="F7" s="15">
        <v>0.04</v>
      </c>
      <c r="G7" s="14">
        <f t="shared" si="0"/>
        <v>480</v>
      </c>
    </row>
    <row r="8" spans="2:7" x14ac:dyDescent="0.25">
      <c r="B8" s="13" t="s">
        <v>40</v>
      </c>
      <c r="C8" s="13" t="s">
        <v>41</v>
      </c>
      <c r="D8" s="14">
        <v>9000</v>
      </c>
      <c r="E8" s="14">
        <v>10000</v>
      </c>
      <c r="F8" s="15">
        <v>0.05</v>
      </c>
      <c r="G8" s="14" t="str">
        <f t="shared" si="0"/>
        <v>0</v>
      </c>
    </row>
    <row r="9" spans="2:7" x14ac:dyDescent="0.25">
      <c r="B9" s="18" t="s">
        <v>46</v>
      </c>
      <c r="C9" s="18" t="s">
        <v>43</v>
      </c>
      <c r="D9" s="19">
        <v>10000</v>
      </c>
      <c r="E9" s="19">
        <v>6000</v>
      </c>
      <c r="F9" s="20">
        <v>7.0000000000000007E-2</v>
      </c>
      <c r="G9" s="19">
        <f t="shared" si="0"/>
        <v>700.00000000000011</v>
      </c>
    </row>
    <row r="10" spans="2:7" x14ac:dyDescent="0.25">
      <c r="B10" s="13" t="s">
        <v>47</v>
      </c>
      <c r="C10" s="13" t="s">
        <v>42</v>
      </c>
      <c r="D10" s="14">
        <v>16000</v>
      </c>
      <c r="E10" s="14">
        <v>15000</v>
      </c>
      <c r="F10" s="15">
        <v>0.03</v>
      </c>
      <c r="G10" s="14">
        <f t="shared" si="0"/>
        <v>480</v>
      </c>
    </row>
    <row r="11" spans="2:7" x14ac:dyDescent="0.25">
      <c r="B11" s="21" t="s">
        <v>48</v>
      </c>
      <c r="C11" s="21" t="s">
        <v>41</v>
      </c>
      <c r="D11" s="22">
        <v>20000</v>
      </c>
      <c r="E11" s="22">
        <v>10000</v>
      </c>
      <c r="F11" s="23">
        <v>0.05</v>
      </c>
      <c r="G11" s="22">
        <f t="shared" si="0"/>
        <v>1000</v>
      </c>
    </row>
    <row r="12" spans="2:7" x14ac:dyDescent="0.25">
      <c r="B12" s="13" t="s">
        <v>49</v>
      </c>
      <c r="C12" s="13" t="s">
        <v>44</v>
      </c>
      <c r="D12" s="14">
        <v>9000</v>
      </c>
      <c r="E12" s="14">
        <v>8000</v>
      </c>
      <c r="F12" s="15">
        <v>0.04</v>
      </c>
      <c r="G12" s="14">
        <f t="shared" si="0"/>
        <v>360</v>
      </c>
    </row>
    <row r="16" spans="2:7" x14ac:dyDescent="0.25">
      <c r="B16" s="10" t="s">
        <v>45</v>
      </c>
      <c r="C16" s="10"/>
    </row>
    <row r="17" spans="2:3" x14ac:dyDescent="0.25">
      <c r="B17">
        <v>1</v>
      </c>
      <c r="C17">
        <f>LARGE(G4:G12, 1)</f>
        <v>1000</v>
      </c>
    </row>
    <row r="18" spans="2:3" x14ac:dyDescent="0.25">
      <c r="B18">
        <v>2</v>
      </c>
      <c r="C18">
        <f>LARGE(G4:G12, 2)</f>
        <v>720</v>
      </c>
    </row>
    <row r="19" spans="2:3" x14ac:dyDescent="0.25">
      <c r="B19">
        <v>3</v>
      </c>
      <c r="C19">
        <f>LARGE(G4:G12, 3)</f>
        <v>700.00000000000011</v>
      </c>
    </row>
  </sheetData>
  <mergeCells count="2">
    <mergeCell ref="B16:C16"/>
    <mergeCell ref="B2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ALunos</vt:lpstr>
      <vt:lpstr>Comissão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2026-09-21T22:13:02Z</dcterms:created>
  <dcterms:modified xsi:type="dcterms:W3CDTF">2026-09-22T01:05:37Z</dcterms:modified>
</cp:coreProperties>
</file>